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Analyse Mensuelle" sheetId="2" state="visible" r:id="rId4"/>
    <sheet name="🔍 Analyse Comportementale" sheetId="3" state="visible" r:id="rId5"/>
    <sheet name="🎯 Projection 2026" sheetId="4" state="visible" r:id="rId6"/>
    <sheet name="🗺️ Top Vil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<sst xmlns="http://schemas.openxmlformats.org/spreadsheetml/2006/main" count="157" uniqueCount="117">
  <si>
    <t xml:space="preserve">📊  DASHBOARD ANALYTIQUE — ORANGE MONEY GUINÉE  |  Juillet–Décembre 2025</t>
  </si>
  <si>
    <t xml:space="preserve">Programme LIEWO Hub — Module 1 : Data Analytics | Mission : Orange Money atteindra-t-il 10 millions d'utilisateurs en 2026 ?</t>
  </si>
  <si>
    <t xml:space="preserve">💰 Volume Total</t>
  </si>
  <si>
    <t xml:space="preserve">📊 Transactions</t>
  </si>
  <si>
    <t xml:space="preserve">✅ Taux Succès</t>
  </si>
  <si>
    <t xml:space="preserve">👥 Utilisateurs</t>
  </si>
  <si>
    <t xml:space="preserve">💵 Montant Moyen</t>
  </si>
  <si>
    <t xml:space="preserve">💸 Frais Collectés</t>
  </si>
  <si>
    <t xml:space="preserve">2,1 Mrd GNF</t>
  </si>
  <si>
    <t xml:space="preserve">10 000</t>
  </si>
  <si>
    <t xml:space="preserve">96,2%</t>
  </si>
  <si>
    <t xml:space="preserve">8,42M</t>
  </si>
  <si>
    <t xml:space="preserve">210 059 GNF</t>
  </si>
  <si>
    <t xml:space="preserve">31,5M GNF</t>
  </si>
  <si>
    <t xml:space="preserve">📅 ÉVOLUTION MENSUELLE DES TRANSACTIONS</t>
  </si>
  <si>
    <t xml:space="preserve">💳 TYPES DE TRANSACTIONS</t>
  </si>
  <si>
    <t xml:space="preserve">🗺️ TOP 5 VILLES</t>
  </si>
  <si>
    <t xml:space="preserve">Mois</t>
  </si>
  <si>
    <t xml:space="preserve">Transactions</t>
  </si>
  <si>
    <t xml:space="preserve">Volume (GNF)</t>
  </si>
  <si>
    <t xml:space="preserve">Frais (GNF)</t>
  </si>
  <si>
    <t xml:space="preserve">Moy. Tx (GNF)</t>
  </si>
  <si>
    <t xml:space="preserve">Nouveaux Users</t>
  </si>
  <si>
    <t xml:space="preserve">Taux Succès</t>
  </si>
  <si>
    <t xml:space="preserve">Type</t>
  </si>
  <si>
    <t xml:space="preserve">Nb Transactions</t>
  </si>
  <si>
    <t xml:space="preserve">Moy. (GNF)</t>
  </si>
  <si>
    <t xml:space="preserve">Ville</t>
  </si>
  <si>
    <t xml:space="preserve">Part %</t>
  </si>
  <si>
    <t xml:space="preserve">2025-07</t>
  </si>
  <si>
    <t xml:space="preserve">Crédit</t>
  </si>
  <si>
    <t xml:space="preserve">Conakry</t>
  </si>
  <si>
    <t xml:space="preserve">2025-08</t>
  </si>
  <si>
    <t xml:space="preserve">Paiement</t>
  </si>
  <si>
    <t xml:space="preserve">Kindia</t>
  </si>
  <si>
    <t xml:space="preserve">2025-09</t>
  </si>
  <si>
    <t xml:space="preserve">Retrait</t>
  </si>
  <si>
    <t xml:space="preserve">Kankan</t>
  </si>
  <si>
    <t xml:space="preserve">2025-10</t>
  </si>
  <si>
    <t xml:space="preserve">Transfert</t>
  </si>
  <si>
    <t xml:space="preserve">Labé</t>
  </si>
  <si>
    <t xml:space="preserve">2025-11</t>
  </si>
  <si>
    <t xml:space="preserve">Dubréka</t>
  </si>
  <si>
    <t xml:space="preserve">2025-12</t>
  </si>
  <si>
    <t xml:space="preserve">📅  ANALYSE MENSUELLE DES TRANSACTIONS — ORANGE MONEY GUINÉE</t>
  </si>
  <si>
    <t xml:space="preserve">Volume Total (GNF)</t>
  </si>
  <si>
    <t xml:space="preserve">Frais Collectés (GNF)</t>
  </si>
  <si>
    <t xml:space="preserve">Montant Moyen (GNF)</t>
  </si>
  <si>
    <t xml:space="preserve">TOTAL / MOYENNE</t>
  </si>
  <si>
    <t xml:space="preserve">🔍  ANALYSE COMPORTEMENTALE — DEVICES, ÂGES, JOURS &amp; HEURES</t>
  </si>
  <si>
    <t xml:space="preserve">📱 PAR DEVICE</t>
  </si>
  <si>
    <t xml:space="preserve">👥 PAR TRANCHE D'ÂGE</t>
  </si>
  <si>
    <t xml:space="preserve">Device</t>
  </si>
  <si>
    <t xml:space="preserve">Tranche d'âge</t>
  </si>
  <si>
    <t xml:space="preserve">Android</t>
  </si>
  <si>
    <t xml:space="preserve">18-25</t>
  </si>
  <si>
    <t xml:space="preserve">USSD</t>
  </si>
  <si>
    <t xml:space="preserve">26-35</t>
  </si>
  <si>
    <t xml:space="preserve">iOS</t>
  </si>
  <si>
    <t xml:space="preserve">36-50</t>
  </si>
  <si>
    <t xml:space="preserve">51+</t>
  </si>
  <si>
    <t xml:space="preserve">📆 PAR JOUR DE LA SEMAINE</t>
  </si>
  <si>
    <t xml:space="preserve">⏰ PAR HEURE (APERÇU)</t>
  </si>
  <si>
    <t xml:space="preserve">Jour</t>
  </si>
  <si>
    <t xml:space="preserve">Heure</t>
  </si>
  <si>
    <t xml:space="preserve">Lundi</t>
  </si>
  <si>
    <t xml:space="preserve">15h00</t>
  </si>
  <si>
    <t xml:space="preserve">Mardi</t>
  </si>
  <si>
    <t xml:space="preserve">21h00</t>
  </si>
  <si>
    <t xml:space="preserve">Mercredi</t>
  </si>
  <si>
    <t xml:space="preserve">19h00</t>
  </si>
  <si>
    <t xml:space="preserve">Jeudi</t>
  </si>
  <si>
    <t xml:space="preserve">11h00</t>
  </si>
  <si>
    <t xml:space="preserve">Vendredi</t>
  </si>
  <si>
    <t xml:space="preserve">10h00</t>
  </si>
  <si>
    <t xml:space="preserve">Samedi</t>
  </si>
  <si>
    <t xml:space="preserve">6h00</t>
  </si>
  <si>
    <t xml:space="preserve">Dimanche</t>
  </si>
  <si>
    <t xml:space="preserve">🎯  PROJECTION 2026 — ORANGE MONEY ATTEINDRA-T-IL 10 MILLIONS D'UTILISATEURS ?</t>
  </si>
  <si>
    <t xml:space="preserve">⚙️ HYPOTHÈSES</t>
  </si>
  <si>
    <t xml:space="preserve">Utilisateurs Déc. 2025</t>
  </si>
  <si>
    <t xml:space="preserve">Nouveaux users/mois (moy.)</t>
  </si>
  <si>
    <t xml:space="preserve">Churn/mois (moy.)</t>
  </si>
  <si>
    <t xml:space="preserve">Croissance nette/mois</t>
  </si>
  <si>
    <t xml:space="preserve">Objectif 2026</t>
  </si>
  <si>
    <t xml:space="preserve">📊 TABLEAU DE PROJECTION MENSUELLE</t>
  </si>
  <si>
    <t xml:space="preserve">Projection Utilisateurs</t>
  </si>
  <si>
    <t xml:space="preserve">Objectif 10M</t>
  </si>
  <si>
    <t xml:space="preserve">Gap</t>
  </si>
  <si>
    <t xml:space="preserve">Atteint ?</t>
  </si>
  <si>
    <t xml:space="preserve">Croissance/mois</t>
  </si>
  <si>
    <t xml:space="preserve">Cum. Croissance</t>
  </si>
  <si>
    <t xml:space="preserve">Jan 2026</t>
  </si>
  <si>
    <t xml:space="preserve">❌ NON</t>
  </si>
  <si>
    <t xml:space="preserve">Fév 2026</t>
  </si>
  <si>
    <t xml:space="preserve">Mar 2026</t>
  </si>
  <si>
    <t xml:space="preserve">Avr 2026</t>
  </si>
  <si>
    <t xml:space="preserve">Mai 2026</t>
  </si>
  <si>
    <t xml:space="preserve">Jun 2026</t>
  </si>
  <si>
    <t xml:space="preserve">Jul 2026</t>
  </si>
  <si>
    <t xml:space="preserve">Aoû 2026</t>
  </si>
  <si>
    <t xml:space="preserve">Sep 2026</t>
  </si>
  <si>
    <t xml:space="preserve">Oct 2026</t>
  </si>
  <si>
    <t xml:space="preserve">Nov 2026</t>
  </si>
  <si>
    <t xml:space="preserve">Déc 2026</t>
  </si>
  <si>
    <t xml:space="preserve">🔴  VERDICT : NON — Orange Money n'atteindra PAS 10 millions en Décembre 2026</t>
  </si>
  <si>
    <t xml:space="preserve">Projection Décembre 2026 : 9 900 000 utilisateurs — Manque : 100 000 (1%)</t>
  </si>
  <si>
    <t xml:space="preserve">Solution : Augmenter la croissance nette de +8 334 users/mois (+6,8%) via acquisition zones rurales + réduction du churn</t>
  </si>
  <si>
    <t xml:space="preserve">🗺️  ANALYSE PAR VILLE — TOP 10 VILLES ORANGE MONEY GUINÉE</t>
  </si>
  <si>
    <t xml:space="preserve">Rang</t>
  </si>
  <si>
    <t xml:space="preserve">Part Transactions</t>
  </si>
  <si>
    <t xml:space="preserve">Part Volume</t>
  </si>
  <si>
    <t xml:space="preserve">Coyah</t>
  </si>
  <si>
    <t xml:space="preserve">Mamou</t>
  </si>
  <si>
    <t xml:space="preserve">Kamsar</t>
  </si>
  <si>
    <t xml:space="preserve">Boké</t>
  </si>
  <si>
    <t xml:space="preserve">Macenta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</si>
</sst>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66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sz val="10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AFAFA"/>
        <bgColor rgb="FFF9F9F9"/>
      </patternFill>
    </fill>
    <fill>
      <patternFill patternType="solid">
        <fgColor rgb="FFFF6600"/>
        <bgColor rgb="FFFF8C00"/>
      </patternFill>
    </fill>
    <fill>
      <patternFill patternType="solid">
        <fgColor rgb="FF1E7145"/>
        <bgColor rgb="FF008080"/>
      </patternFill>
    </fill>
    <fill>
      <patternFill patternType="solid">
        <fgColor rgb="FF2F5597"/>
        <bgColor rgb="FF1F3864"/>
      </patternFill>
    </fill>
    <fill>
      <patternFill patternType="solid">
        <fgColor rgb="FFFF8C00"/>
        <bgColor rgb="FFFF660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FFB347"/>
        <bgColor rgb="FFFFCC99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347"/>
      <rgbColor rgb="FFFF8C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des Transactions par Mois (GNF)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'📅 Analyse Mensuelle'!C3</c:f>
              <c:strCache>
                <c:ptCount val="1"/>
                <c:pt idx="0">
                  <c:v>Volume Total (GNF)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Analyse Mensuelle'!$A$4:$A$9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'📅 Analyse Mensuelle'!$C$4:$C$9</c:f>
              <c:numCache>
                <c:formatCode>#,##0</c:formatCode>
                <c:ptCount val="6"/>
                <c:pt idx="0">
                  <c:v>365667278</c:v>
                </c:pt>
                <c:pt idx="1">
                  <c:v>357824677</c:v>
                </c:pt>
                <c:pt idx="2">
                  <c:v>334395528</c:v>
                </c:pt>
                <c:pt idx="3">
                  <c:v>340139722</c:v>
                </c:pt>
                <c:pt idx="4">
                  <c:v>353239318</c:v>
                </c:pt>
                <c:pt idx="5">
                  <c:v>349318700</c:v>
                </c:pt>
              </c:numCache>
            </c:numRef>
          </c:val>
        </c:ser>
        <c:gapWidth val="150"/>
        <c:overlap val="0"/>
        <c:axId val="81472229"/>
        <c:axId val="71083380"/>
      </c:barChart>
      <c:catAx>
        <c:axId val="814722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83380"/>
        <c:crosses val="autoZero"/>
        <c:auto val="1"/>
        <c:lblAlgn val="ctr"/>
        <c:lblOffset val="100"/>
        <c:noMultiLvlLbl val="0"/>
      </c:catAx>
      <c:valAx>
        <c:axId val="71083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 (GNF)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722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Transactions par Jour de la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'🔍 Analyse Comportementale'!B11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Analyse Comportementale'!$A$12:$A$18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'🔍 Analyse Comportementale'!$B$12:$B$18</c:f>
              <c:numCache>
                <c:formatCode>#,##0</c:formatCode>
                <c:ptCount val="7"/>
                <c:pt idx="0">
                  <c:v>1423</c:v>
                </c:pt>
                <c:pt idx="1">
                  <c:v>1497</c:v>
                </c:pt>
                <c:pt idx="2">
                  <c:v>1416</c:v>
                </c:pt>
                <c:pt idx="3">
                  <c:v>1427</c:v>
                </c:pt>
                <c:pt idx="4">
                  <c:v>1381</c:v>
                </c:pt>
                <c:pt idx="5">
                  <c:v>1441</c:v>
                </c:pt>
                <c:pt idx="6">
                  <c:v>1415</c:v>
                </c:pt>
              </c:numCache>
            </c:numRef>
          </c:val>
        </c:ser>
        <c:gapWidth val="150"/>
        <c:overlap val="0"/>
        <c:axId val="22602191"/>
        <c:axId val="59465390"/>
      </c:barChart>
      <c:catAx>
        <c:axId val="2260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65390"/>
        <c:crosses val="autoZero"/>
        <c:auto val="1"/>
        <c:lblAlgn val="ctr"/>
        <c:lblOffset val="100"/>
        <c:noMultiLvlLbl val="0"/>
      </c:catAx>
      <c:valAx>
        <c:axId val="59465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02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Projection Utilisateurs 2026 vs Objectif 10M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'🎯 Projection 2026'!B11</c:f>
              <c:strCache>
                <c:ptCount val="1"/>
                <c:pt idx="0">
                  <c:v>Projection Utilisateurs</c:v>
                </c:pt>
              </c:strCache>
            </c:strRef>
          </c:tx>
          <c:spPr>
            <a:solidFill>
              <a:srgbClr val="ff6600"/>
            </a:solidFill>
            <a:ln w="2484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'🎯 Projection 2026'!$A$12:$A$23</c:f>
              <c:strCache>
                <c:ptCount val="12"/>
                <c:pt idx="0">
                  <c:v>Jan 2026</c:v>
                </c:pt>
                <c:pt idx="1">
                  <c:v>Fév 2026</c:v>
                </c:pt>
                <c:pt idx="2">
                  <c:v>Mar 2026</c:v>
                </c:pt>
                <c:pt idx="3">
                  <c:v>Avr 2026</c:v>
                </c:pt>
                <c:pt idx="4">
                  <c:v>Mai 2026</c:v>
                </c:pt>
                <c:pt idx="5">
                  <c:v>Jun 2026</c:v>
                </c:pt>
                <c:pt idx="6">
                  <c:v>Jul 2026</c:v>
                </c:pt>
                <c:pt idx="7">
                  <c:v>Aoû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Déc 2026</c:v>
                </c:pt>
              </c:strCache>
            </c:strRef>
          </c:cat>
          <c:val>
            <c:numRef>
              <c:f>'🎯 Projection 2026'!$B$12:$B$23</c:f>
              <c:numCache>
                <c:formatCode>#,##0</c:formatCode>
                <c:ptCount val="12"/>
                <c:pt idx="0">
                  <c:v>8543333</c:v>
                </c:pt>
                <c:pt idx="1">
                  <c:v>8666667</c:v>
                </c:pt>
                <c:pt idx="2">
                  <c:v>8790000</c:v>
                </c:pt>
                <c:pt idx="3">
                  <c:v>8913333</c:v>
                </c:pt>
                <c:pt idx="4">
                  <c:v>9036667</c:v>
                </c:pt>
                <c:pt idx="5">
                  <c:v>9160000</c:v>
                </c:pt>
                <c:pt idx="6">
                  <c:v>9283333</c:v>
                </c:pt>
                <c:pt idx="7">
                  <c:v>9406667</c:v>
                </c:pt>
                <c:pt idx="8">
                  <c:v>9530000</c:v>
                </c:pt>
                <c:pt idx="9">
                  <c:v>9653333</c:v>
                </c:pt>
                <c:pt idx="10">
                  <c:v>9776667</c:v>
                </c:pt>
                <c:pt idx="11">
                  <c:v>9900000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'🎯 Projection 2026'!C11</c:f>
              <c:strCache>
                <c:ptCount val="1"/>
                <c:pt idx="0">
                  <c:v>Objectif 10M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'🎯 Projection 2026'!$A$12:$A$23</c:f>
              <c:strCache>
                <c:ptCount val="12"/>
                <c:pt idx="0">
                  <c:v>Jan 2026</c:v>
                </c:pt>
                <c:pt idx="1">
                  <c:v>Fév 2026</c:v>
                </c:pt>
                <c:pt idx="2">
                  <c:v>Mar 2026</c:v>
                </c:pt>
                <c:pt idx="3">
                  <c:v>Avr 2026</c:v>
                </c:pt>
                <c:pt idx="4">
                  <c:v>Mai 2026</c:v>
                </c:pt>
                <c:pt idx="5">
                  <c:v>Jun 2026</c:v>
                </c:pt>
                <c:pt idx="6">
                  <c:v>Jul 2026</c:v>
                </c:pt>
                <c:pt idx="7">
                  <c:v>Aoû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Déc 2026</c:v>
                </c:pt>
              </c:strCache>
            </c:strRef>
          </c:cat>
          <c:val>
            <c:numRef>
              <c:f>'🎯 Projection 2026'!$C$12:$C$23</c:f>
              <c:numCache>
                <c:formatCode>#,##0</c:formatCode>
                <c:ptCount val="12"/>
                <c:pt idx="0">
                  <c:v>10000000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10000000</c:v>
                </c:pt>
                <c:pt idx="5">
                  <c:v>10000000</c:v>
                </c:pt>
                <c:pt idx="6">
                  <c:v>10000000</c:v>
                </c:pt>
                <c:pt idx="7">
                  <c:v>10000000</c:v>
                </c:pt>
                <c:pt idx="8">
                  <c:v>10000000</c:v>
                </c:pt>
                <c:pt idx="9">
                  <c:v>10000000</c:v>
                </c:pt>
                <c:pt idx="10">
                  <c:v>10000000</c:v>
                </c:pt>
                <c:pt idx="11">
                  <c:v>10000000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868468"/>
        <c:axId val="14353466"/>
      </c:lineChart>
      <c:catAx>
        <c:axId val="55868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 2026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53466"/>
        <c:crosses val="autoZero"/>
        <c:auto val="1"/>
        <c:lblAlgn val="ctr"/>
        <c:lblOffset val="100"/>
        <c:noMultiLvlLbl val="0"/>
      </c:catAx>
      <c:valAx>
        <c:axId val="14353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Utilisateurs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8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Villes — Nombre de Transactions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'🗺️ Top Villes'!C3</c:f>
              <c:strCache>
                <c:ptCount val="1"/>
                <c:pt idx="0">
                  <c:v>Nb Transactions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'🗺️ Top Villes'!$B$4:$B$13</c:f>
              <c:strCache>
                <c:ptCount val="10"/>
                <c:pt idx="0">
                  <c:v>Conakry</c:v>
                </c:pt>
                <c:pt idx="1">
                  <c:v>Kindia</c:v>
                </c:pt>
                <c:pt idx="2">
                  <c:v>Kankan</c:v>
                </c:pt>
                <c:pt idx="3">
                  <c:v>Labé</c:v>
                </c:pt>
                <c:pt idx="4">
                  <c:v>Dubréka</c:v>
                </c:pt>
                <c:pt idx="5">
                  <c:v>Coyah</c:v>
                </c:pt>
                <c:pt idx="6">
                  <c:v>Mamou</c:v>
                </c:pt>
                <c:pt idx="7">
                  <c:v>Kamsar</c:v>
                </c:pt>
                <c:pt idx="8">
                  <c:v>Boké</c:v>
                </c:pt>
                <c:pt idx="9">
                  <c:v>Macenta</c:v>
                </c:pt>
              </c:strCache>
            </c:strRef>
          </c:cat>
          <c:val>
            <c:numRef>
              <c:f>'🗺️ Top Villes'!$C$4:$C$13</c:f>
              <c:numCache>
                <c:formatCode>#,##0</c:formatCode>
                <c:ptCount val="10"/>
                <c:pt idx="0">
                  <c:v>6218</c:v>
                </c:pt>
                <c:pt idx="1">
                  <c:v>397</c:v>
                </c:pt>
                <c:pt idx="2">
                  <c:v>383</c:v>
                </c:pt>
                <c:pt idx="3">
                  <c:v>381</c:v>
                </c:pt>
                <c:pt idx="4">
                  <c:v>373</c:v>
                </c:pt>
                <c:pt idx="5">
                  <c:v>284</c:v>
                </c:pt>
                <c:pt idx="6">
                  <c:v>274</c:v>
                </c:pt>
                <c:pt idx="7">
                  <c:v>264</c:v>
                </c:pt>
                <c:pt idx="8">
                  <c:v>249</c:v>
                </c:pt>
                <c:pt idx="9">
                  <c:v>227</c:v>
                </c:pt>
              </c:numCache>
            </c:numRef>
          </c:val>
        </c:ser>
        <c:gapWidth val="150"/>
        <c:overlap val="0"/>
        <c:axId val="12239509"/>
        <c:axId val="23165276"/>
      </c:barChart>
      <c:catAx>
        <c:axId val="12239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65276"/>
        <c:crosses val="autoZero"/>
        <c:auto val="1"/>
        <c:lblAlgn val="ctr"/>
        <c:lblOffset val="100"/>
        <c:noMultiLvlLbl val="0"/>
      </c:catAx>
      <c:valAx>
        <c:axId val="23165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39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16</xdr:col>
      <xdr:colOff>55800</xdr:colOff>
      <xdr:row>22</xdr:row>
      <xdr:rowOff>90720</xdr:rowOff>
    </xdr:to>
    <xdr:graphicFrame>
      <xdr:nvGraphicFramePr>
        <xdr:cNvPr id="0" name="Chart 1"/>
        <xdr:cNvGraphicFramePr/>
      </xdr:nvGraphicFramePr>
      <xdr:xfrm>
        <a:off x="8458200" y="4478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14</xdr:col>
      <xdr:colOff>559080</xdr:colOff>
      <xdr:row>24</xdr:row>
      <xdr:rowOff>128880</xdr:rowOff>
    </xdr:to>
    <xdr:graphicFrame>
      <xdr:nvGraphicFramePr>
        <xdr:cNvPr id="1" name="Chart 1"/>
        <xdr:cNvGraphicFramePr/>
      </xdr:nvGraphicFramePr>
      <xdr:xfrm>
        <a:off x="5920920" y="447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0</xdr:rowOff>
    </xdr:from>
    <xdr:to>
      <xdr:col>17</xdr:col>
      <xdr:colOff>164520</xdr:colOff>
      <xdr:row>30</xdr:row>
      <xdr:rowOff>86760</xdr:rowOff>
    </xdr:to>
    <xdr:graphicFrame>
      <xdr:nvGraphicFramePr>
        <xdr:cNvPr id="2" name="Chart 1"/>
        <xdr:cNvGraphicFramePr/>
      </xdr:nvGraphicFramePr>
      <xdr:xfrm>
        <a:off x="8176320" y="2009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16</xdr:col>
      <xdr:colOff>194760</xdr:colOff>
      <xdr:row>25</xdr:row>
      <xdr:rowOff>86760</xdr:rowOff>
    </xdr:to>
    <xdr:graphicFrame>
      <xdr:nvGraphicFramePr>
        <xdr:cNvPr id="3" name="Chart 1"/>
        <xdr:cNvGraphicFramePr/>
      </xdr:nvGraphicFramePr>
      <xdr:xfrm>
        <a:off x="6343560" y="4478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S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2"/>
    <col collapsed="false" customWidth="true" hidden="false" outlineLevel="0" max="8" min="8" style="0" width="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"/>
    <col collapsed="false" customWidth="true" hidden="false" outlineLevel="0" max="15" min="14" style="0" width="14"/>
    <col collapsed="false" customWidth="true" hidden="false" outlineLevel="0" max="16" min="16" style="0" width="16"/>
    <col collapsed="false" customWidth="true" hidden="false" outlineLevel="0" max="17" min="17" style="0" width="10"/>
    <col collapsed="false" customWidth="true" hidden="false" outlineLevel="0" max="18" min="18" style="0" width="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 customFormat="false" ht="9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9.5" hidden="false" customHeight="true" outlineLevel="0" collapsed="false">
      <c r="A5" s="4" t="s">
        <v>2</v>
      </c>
      <c r="B5" s="4"/>
      <c r="C5" s="5" t="s">
        <v>3</v>
      </c>
      <c r="D5" s="5"/>
      <c r="E5" s="4" t="s">
        <v>4</v>
      </c>
      <c r="F5" s="4"/>
      <c r="G5" s="6" t="s">
        <v>5</v>
      </c>
      <c r="H5" s="6"/>
      <c r="I5" s="5" t="s">
        <v>6</v>
      </c>
      <c r="J5" s="5"/>
      <c r="K5" s="7" t="s">
        <v>7</v>
      </c>
      <c r="L5" s="7"/>
      <c r="M5" s="2"/>
      <c r="N5" s="2"/>
      <c r="O5" s="2"/>
      <c r="P5" s="2"/>
      <c r="Q5" s="2"/>
      <c r="R5" s="2"/>
      <c r="S5" s="2"/>
    </row>
    <row r="6" customFormat="false" ht="27.75" hidden="false" customHeight="true" outlineLevel="0" collapsed="false">
      <c r="A6" s="8" t="s">
        <v>8</v>
      </c>
      <c r="B6" s="8"/>
      <c r="C6" s="9" t="s">
        <v>9</v>
      </c>
      <c r="D6" s="9"/>
      <c r="E6" s="8" t="s">
        <v>10</v>
      </c>
      <c r="F6" s="8"/>
      <c r="G6" s="10" t="s">
        <v>11</v>
      </c>
      <c r="H6" s="10"/>
      <c r="I6" s="9" t="s">
        <v>12</v>
      </c>
      <c r="J6" s="9"/>
      <c r="K6" s="11" t="s">
        <v>13</v>
      </c>
      <c r="L6" s="11"/>
      <c r="M6" s="2"/>
      <c r="N6" s="2"/>
      <c r="O6" s="2"/>
      <c r="P6" s="2"/>
      <c r="Q6" s="2"/>
      <c r="R6" s="2"/>
      <c r="S6" s="2"/>
    </row>
    <row r="7" customFormat="false" ht="6" hidden="false" customHeight="true" outlineLevel="0" collapsed="false">
      <c r="A7" s="12"/>
      <c r="B7" s="12"/>
      <c r="C7" s="13"/>
      <c r="D7" s="13"/>
      <c r="E7" s="12"/>
      <c r="F7" s="12"/>
      <c r="G7" s="14"/>
      <c r="H7" s="14"/>
      <c r="I7" s="13"/>
      <c r="J7" s="13"/>
      <c r="K7" s="15"/>
      <c r="L7" s="15"/>
      <c r="M7" s="2"/>
      <c r="N7" s="2"/>
      <c r="O7" s="2"/>
      <c r="P7" s="2"/>
      <c r="Q7" s="2"/>
      <c r="R7" s="2"/>
      <c r="S7" s="2"/>
    </row>
    <row r="8" customFormat="false" ht="3.75" hidden="false" customHeight="true" outlineLevel="0" collapsed="false">
      <c r="A8" s="12"/>
      <c r="B8" s="12"/>
      <c r="C8" s="13"/>
      <c r="D8" s="13"/>
      <c r="E8" s="12"/>
      <c r="F8" s="12"/>
      <c r="G8" s="14"/>
      <c r="H8" s="14"/>
      <c r="I8" s="13"/>
      <c r="J8" s="13"/>
      <c r="K8" s="15"/>
      <c r="L8" s="15"/>
      <c r="M8" s="2"/>
      <c r="N8" s="2"/>
      <c r="O8" s="2"/>
      <c r="P8" s="2"/>
      <c r="Q8" s="2"/>
      <c r="R8" s="2"/>
      <c r="S8" s="2"/>
    </row>
    <row r="9" customFormat="false" ht="7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9.5" hidden="false" customHeight="true" outlineLevel="0" collapsed="false">
      <c r="A10" s="16" t="s">
        <v>14</v>
      </c>
      <c r="B10" s="16"/>
      <c r="C10" s="16"/>
      <c r="D10" s="16"/>
      <c r="E10" s="16"/>
      <c r="F10" s="16"/>
      <c r="G10" s="16"/>
      <c r="H10" s="2"/>
      <c r="I10" s="16" t="s">
        <v>15</v>
      </c>
      <c r="J10" s="16"/>
      <c r="K10" s="16"/>
      <c r="L10" s="16"/>
      <c r="M10" s="2"/>
      <c r="N10" s="17" t="s">
        <v>16</v>
      </c>
      <c r="O10" s="17"/>
      <c r="P10" s="17"/>
      <c r="Q10" s="17"/>
      <c r="R10" s="17"/>
      <c r="S10" s="2"/>
    </row>
    <row r="11" customFormat="false" ht="18" hidden="false" customHeight="true" outlineLevel="0" collapsed="false">
      <c r="A11" s="18" t="s">
        <v>17</v>
      </c>
      <c r="B11" s="18" t="s">
        <v>18</v>
      </c>
      <c r="C11" s="18" t="s">
        <v>19</v>
      </c>
      <c r="D11" s="18" t="s">
        <v>20</v>
      </c>
      <c r="E11" s="18" t="s">
        <v>21</v>
      </c>
      <c r="F11" s="18" t="s">
        <v>22</v>
      </c>
      <c r="G11" s="18" t="s">
        <v>23</v>
      </c>
      <c r="H11" s="2"/>
      <c r="I11" s="18" t="s">
        <v>24</v>
      </c>
      <c r="J11" s="18" t="s">
        <v>25</v>
      </c>
      <c r="K11" s="18" t="s">
        <v>19</v>
      </c>
      <c r="L11" s="18" t="s">
        <v>26</v>
      </c>
      <c r="M11" s="2"/>
      <c r="N11" s="18" t="s">
        <v>27</v>
      </c>
      <c r="O11" s="18" t="s">
        <v>18</v>
      </c>
      <c r="P11" s="18" t="s">
        <v>19</v>
      </c>
      <c r="Q11" s="18" t="s">
        <v>28</v>
      </c>
      <c r="R11" s="2"/>
      <c r="S11" s="2"/>
    </row>
    <row r="12" customFormat="false" ht="18" hidden="false" customHeight="true" outlineLevel="0" collapsed="false">
      <c r="A12" s="19" t="s">
        <v>29</v>
      </c>
      <c r="B12" s="20" t="n">
        <v>1744</v>
      </c>
      <c r="C12" s="20" t="n">
        <v>365667278</v>
      </c>
      <c r="D12" s="20" t="n">
        <v>5484138</v>
      </c>
      <c r="E12" s="20" t="n">
        <v>209672</v>
      </c>
      <c r="F12" s="20" t="n">
        <v>273</v>
      </c>
      <c r="G12" s="21" t="n">
        <v>0.964</v>
      </c>
      <c r="H12" s="2"/>
      <c r="I12" s="22" t="s">
        <v>30</v>
      </c>
      <c r="J12" s="23" t="n">
        <v>305</v>
      </c>
      <c r="K12" s="23" t="n">
        <v>8301809</v>
      </c>
      <c r="L12" s="23" t="n">
        <v>27219</v>
      </c>
      <c r="M12" s="2"/>
      <c r="N12" s="19" t="s">
        <v>31</v>
      </c>
      <c r="O12" s="20" t="n">
        <v>6218</v>
      </c>
      <c r="P12" s="20" t="n">
        <v>1303602912</v>
      </c>
      <c r="Q12" s="21" t="n">
        <v>0.6218</v>
      </c>
      <c r="R12" s="2"/>
      <c r="S12" s="2"/>
    </row>
    <row r="13" customFormat="false" ht="18" hidden="false" customHeight="true" outlineLevel="0" collapsed="false">
      <c r="A13" s="24" t="s">
        <v>32</v>
      </c>
      <c r="B13" s="25" t="n">
        <v>1712</v>
      </c>
      <c r="C13" s="25" t="n">
        <v>357824677</v>
      </c>
      <c r="D13" s="25" t="n">
        <v>5366513</v>
      </c>
      <c r="E13" s="25" t="n">
        <v>209010</v>
      </c>
      <c r="F13" s="25" t="n">
        <v>255</v>
      </c>
      <c r="G13" s="26" t="n">
        <v>0.958</v>
      </c>
      <c r="H13" s="2"/>
      <c r="I13" s="27" t="s">
        <v>33</v>
      </c>
      <c r="J13" s="23" t="n">
        <v>1165</v>
      </c>
      <c r="K13" s="23" t="n">
        <v>117822048</v>
      </c>
      <c r="L13" s="23" t="n">
        <v>101135</v>
      </c>
      <c r="M13" s="2"/>
      <c r="N13" s="24" t="s">
        <v>34</v>
      </c>
      <c r="O13" s="25" t="n">
        <v>397</v>
      </c>
      <c r="P13" s="25" t="n">
        <v>83466692</v>
      </c>
      <c r="Q13" s="26" t="n">
        <v>0.0397</v>
      </c>
      <c r="R13" s="2"/>
      <c r="S13" s="2"/>
    </row>
    <row r="14" customFormat="false" ht="18" hidden="false" customHeight="true" outlineLevel="0" collapsed="false">
      <c r="A14" s="19" t="s">
        <v>35</v>
      </c>
      <c r="B14" s="20" t="n">
        <v>1553</v>
      </c>
      <c r="C14" s="20" t="n">
        <v>334395528</v>
      </c>
      <c r="D14" s="20" t="n">
        <v>5015166</v>
      </c>
      <c r="E14" s="20" t="n">
        <v>215322</v>
      </c>
      <c r="F14" s="20" t="n">
        <v>224</v>
      </c>
      <c r="G14" s="21" t="n">
        <v>0.961</v>
      </c>
      <c r="H14" s="2"/>
      <c r="I14" s="28" t="s">
        <v>36</v>
      </c>
      <c r="J14" s="23" t="n">
        <v>2037</v>
      </c>
      <c r="K14" s="23" t="n">
        <v>306607375</v>
      </c>
      <c r="L14" s="23" t="n">
        <v>150519</v>
      </c>
      <c r="M14" s="2"/>
      <c r="N14" s="19" t="s">
        <v>37</v>
      </c>
      <c r="O14" s="20" t="n">
        <v>383</v>
      </c>
      <c r="P14" s="20" t="n">
        <v>79672733</v>
      </c>
      <c r="Q14" s="21" t="n">
        <v>0.0383</v>
      </c>
      <c r="R14" s="2"/>
      <c r="S14" s="2"/>
    </row>
    <row r="15" customFormat="false" ht="18" hidden="false" customHeight="true" outlineLevel="0" collapsed="false">
      <c r="A15" s="24" t="s">
        <v>38</v>
      </c>
      <c r="B15" s="25" t="n">
        <v>1644</v>
      </c>
      <c r="C15" s="25" t="n">
        <v>340139722</v>
      </c>
      <c r="D15" s="25" t="n">
        <v>5101275</v>
      </c>
      <c r="E15" s="25" t="n">
        <v>206898</v>
      </c>
      <c r="F15" s="25" t="n">
        <v>241</v>
      </c>
      <c r="G15" s="26" t="n">
        <v>0.962</v>
      </c>
      <c r="H15" s="2"/>
      <c r="I15" s="29" t="s">
        <v>39</v>
      </c>
      <c r="J15" s="23" t="n">
        <v>6493</v>
      </c>
      <c r="K15" s="23" t="n">
        <v>1667853991</v>
      </c>
      <c r="L15" s="23" t="n">
        <v>256870</v>
      </c>
      <c r="M15" s="2"/>
      <c r="N15" s="24" t="s">
        <v>40</v>
      </c>
      <c r="O15" s="25" t="n">
        <v>381</v>
      </c>
      <c r="P15" s="25" t="n">
        <v>86767343</v>
      </c>
      <c r="Q15" s="26" t="n">
        <v>0.0381</v>
      </c>
      <c r="R15" s="2"/>
      <c r="S15" s="2"/>
    </row>
    <row r="16" customFormat="false" ht="18" hidden="false" customHeight="true" outlineLevel="0" collapsed="false">
      <c r="A16" s="19" t="s">
        <v>41</v>
      </c>
      <c r="B16" s="20" t="n">
        <v>1688</v>
      </c>
      <c r="C16" s="20" t="n">
        <v>353239318</v>
      </c>
      <c r="D16" s="20" t="n">
        <v>5297753</v>
      </c>
      <c r="E16" s="20" t="n">
        <v>209265</v>
      </c>
      <c r="F16" s="20" t="n">
        <v>238</v>
      </c>
      <c r="G16" s="21" t="n">
        <v>0.963</v>
      </c>
      <c r="H16" s="2"/>
      <c r="I16" s="30"/>
      <c r="J16" s="30"/>
      <c r="K16" s="30"/>
      <c r="L16" s="30"/>
      <c r="M16" s="2"/>
      <c r="N16" s="19" t="s">
        <v>42</v>
      </c>
      <c r="O16" s="20" t="n">
        <v>373</v>
      </c>
      <c r="P16" s="20" t="n">
        <v>75873813</v>
      </c>
      <c r="Q16" s="21" t="n">
        <v>0.0373</v>
      </c>
      <c r="R16" s="2"/>
      <c r="S16" s="2"/>
    </row>
    <row r="17" customFormat="false" ht="18" hidden="false" customHeight="true" outlineLevel="0" collapsed="false">
      <c r="A17" s="24" t="s">
        <v>43</v>
      </c>
      <c r="B17" s="25" t="n">
        <v>1659</v>
      </c>
      <c r="C17" s="25" t="n">
        <v>349318700</v>
      </c>
      <c r="D17" s="25" t="n">
        <v>5238933</v>
      </c>
      <c r="E17" s="25" t="n">
        <v>210560</v>
      </c>
      <c r="F17" s="25" t="n">
        <v>268</v>
      </c>
      <c r="G17" s="26" t="n">
        <v>0.964</v>
      </c>
      <c r="H17" s="2"/>
      <c r="I17" s="2"/>
      <c r="J17" s="2"/>
      <c r="K17" s="2"/>
      <c r="L17" s="2"/>
      <c r="M17" s="2"/>
      <c r="N17" s="30"/>
      <c r="O17" s="30"/>
      <c r="P17" s="30"/>
      <c r="Q17" s="30"/>
      <c r="R17" s="2"/>
      <c r="S17" s="2"/>
    </row>
    <row r="18" customFormat="false" ht="18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</sheetData>
  <mergeCells count="29">
    <mergeCell ref="A1:R2"/>
    <mergeCell ref="A3:R3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G10"/>
    <mergeCell ref="I10:L10"/>
    <mergeCell ref="N10:R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"/>
    <col collapsed="false" customWidth="true" hidden="false" outlineLevel="0" max="14" min="9" style="0" width="14"/>
  </cols>
  <sheetData>
    <row r="1" customFormat="false" ht="27.75" hidden="false" customHeight="true" outlineLevel="0" collapsed="false">
      <c r="A1" s="31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32" t="s">
        <v>17</v>
      </c>
      <c r="B3" s="32" t="s">
        <v>25</v>
      </c>
      <c r="C3" s="32" t="s">
        <v>45</v>
      </c>
      <c r="D3" s="32" t="s">
        <v>46</v>
      </c>
      <c r="E3" s="32" t="s">
        <v>47</v>
      </c>
      <c r="F3" s="32" t="s">
        <v>22</v>
      </c>
      <c r="G3" s="32" t="s">
        <v>23</v>
      </c>
      <c r="H3" s="2"/>
      <c r="I3" s="2"/>
      <c r="J3" s="2"/>
      <c r="K3" s="2"/>
      <c r="L3" s="2"/>
      <c r="M3" s="2"/>
      <c r="N3" s="2"/>
      <c r="O3" s="2"/>
    </row>
    <row r="4" customFormat="false" ht="18" hidden="false" customHeight="true" outlineLevel="0" collapsed="false">
      <c r="A4" s="19" t="s">
        <v>29</v>
      </c>
      <c r="B4" s="20" t="n">
        <v>1744</v>
      </c>
      <c r="C4" s="20" t="n">
        <v>365667278</v>
      </c>
      <c r="D4" s="20" t="n">
        <v>5484138</v>
      </c>
      <c r="E4" s="20" t="n">
        <v>209672</v>
      </c>
      <c r="F4" s="20" t="n">
        <v>273</v>
      </c>
      <c r="G4" s="21" t="n">
        <v>0.964</v>
      </c>
      <c r="H4" s="2"/>
      <c r="I4" s="2"/>
      <c r="J4" s="2"/>
      <c r="K4" s="2"/>
      <c r="L4" s="2"/>
      <c r="M4" s="2"/>
      <c r="N4" s="2"/>
      <c r="O4" s="2"/>
    </row>
    <row r="5" customFormat="false" ht="18" hidden="false" customHeight="true" outlineLevel="0" collapsed="false">
      <c r="A5" s="24" t="s">
        <v>32</v>
      </c>
      <c r="B5" s="25" t="n">
        <v>1712</v>
      </c>
      <c r="C5" s="25" t="n">
        <v>357824677</v>
      </c>
      <c r="D5" s="25" t="n">
        <v>5366513</v>
      </c>
      <c r="E5" s="25" t="n">
        <v>209010</v>
      </c>
      <c r="F5" s="25" t="n">
        <v>255</v>
      </c>
      <c r="G5" s="26" t="n">
        <v>0.958</v>
      </c>
      <c r="H5" s="2"/>
      <c r="I5" s="2"/>
      <c r="J5" s="2"/>
      <c r="K5" s="2"/>
      <c r="L5" s="2"/>
      <c r="M5" s="2"/>
      <c r="N5" s="2"/>
      <c r="O5" s="2"/>
    </row>
    <row r="6" customFormat="false" ht="18" hidden="false" customHeight="true" outlineLevel="0" collapsed="false">
      <c r="A6" s="19" t="s">
        <v>35</v>
      </c>
      <c r="B6" s="20" t="n">
        <v>1553</v>
      </c>
      <c r="C6" s="20" t="n">
        <v>334395528</v>
      </c>
      <c r="D6" s="20" t="n">
        <v>5015166</v>
      </c>
      <c r="E6" s="20" t="n">
        <v>215322</v>
      </c>
      <c r="F6" s="20" t="n">
        <v>224</v>
      </c>
      <c r="G6" s="21" t="n">
        <v>0.961</v>
      </c>
      <c r="H6" s="2"/>
      <c r="I6" s="2"/>
      <c r="J6" s="2"/>
      <c r="K6" s="2"/>
      <c r="L6" s="2"/>
      <c r="M6" s="2"/>
      <c r="N6" s="2"/>
      <c r="O6" s="2"/>
    </row>
    <row r="7" customFormat="false" ht="18" hidden="false" customHeight="true" outlineLevel="0" collapsed="false">
      <c r="A7" s="24" t="s">
        <v>38</v>
      </c>
      <c r="B7" s="25" t="n">
        <v>1644</v>
      </c>
      <c r="C7" s="25" t="n">
        <v>340139722</v>
      </c>
      <c r="D7" s="25" t="n">
        <v>5101275</v>
      </c>
      <c r="E7" s="25" t="n">
        <v>206898</v>
      </c>
      <c r="F7" s="25" t="n">
        <v>241</v>
      </c>
      <c r="G7" s="26" t="n">
        <v>0.962</v>
      </c>
      <c r="H7" s="2"/>
      <c r="I7" s="2"/>
      <c r="J7" s="2"/>
      <c r="K7" s="2"/>
      <c r="L7" s="2"/>
      <c r="M7" s="2"/>
      <c r="N7" s="2"/>
      <c r="O7" s="2"/>
    </row>
    <row r="8" customFormat="false" ht="18" hidden="false" customHeight="true" outlineLevel="0" collapsed="false">
      <c r="A8" s="19" t="s">
        <v>41</v>
      </c>
      <c r="B8" s="20" t="n">
        <v>1688</v>
      </c>
      <c r="C8" s="20" t="n">
        <v>353239318</v>
      </c>
      <c r="D8" s="20" t="n">
        <v>5297753</v>
      </c>
      <c r="E8" s="20" t="n">
        <v>209265</v>
      </c>
      <c r="F8" s="20" t="n">
        <v>238</v>
      </c>
      <c r="G8" s="21" t="n">
        <v>0.963</v>
      </c>
      <c r="H8" s="2"/>
      <c r="I8" s="2"/>
      <c r="J8" s="2"/>
      <c r="K8" s="2"/>
      <c r="L8" s="2"/>
      <c r="M8" s="2"/>
      <c r="N8" s="2"/>
      <c r="O8" s="2"/>
    </row>
    <row r="9" customFormat="false" ht="18" hidden="false" customHeight="true" outlineLevel="0" collapsed="false">
      <c r="A9" s="24" t="s">
        <v>43</v>
      </c>
      <c r="B9" s="25" t="n">
        <v>1659</v>
      </c>
      <c r="C9" s="25" t="n">
        <v>349318700</v>
      </c>
      <c r="D9" s="25" t="n">
        <v>5238933</v>
      </c>
      <c r="E9" s="25" t="n">
        <v>210560</v>
      </c>
      <c r="F9" s="25" t="n">
        <v>268</v>
      </c>
      <c r="G9" s="26" t="n">
        <v>0.964</v>
      </c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27" t="s">
        <v>48</v>
      </c>
      <c r="B10" s="33" t="n">
        <f aca="false">SUM(B4:B9)</f>
        <v>10000</v>
      </c>
      <c r="C10" s="33" t="n">
        <f aca="false">SUM(C4:C9)</f>
        <v>2100585223</v>
      </c>
      <c r="D10" s="33" t="n">
        <f aca="false">SUM(D4:D9)</f>
        <v>31503778</v>
      </c>
      <c r="E10" s="33" t="n">
        <f aca="false">AVERAGE(E4:E9)</f>
        <v>210121.166666667</v>
      </c>
      <c r="F10" s="33" t="n">
        <f aca="false">SUM(F4:F9)</f>
        <v>1499</v>
      </c>
      <c r="G10" s="34" t="n">
        <f aca="false">AVERAGE(G4:G9)</f>
        <v>0.962</v>
      </c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"/>
    <col collapsed="false" customWidth="true" hidden="false" outlineLevel="0" max="14" min="9" style="0" width="14"/>
  </cols>
  <sheetData>
    <row r="1" customFormat="false" ht="27.75" hidden="false" customHeight="true" outlineLevel="0" collapsed="false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2"/>
      <c r="P1" s="2"/>
      <c r="Q1" s="2"/>
      <c r="R1" s="2"/>
      <c r="S1" s="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17" t="s">
        <v>50</v>
      </c>
      <c r="B3" s="17"/>
      <c r="C3" s="17"/>
      <c r="D3" s="17"/>
      <c r="E3" s="17" t="s">
        <v>51</v>
      </c>
      <c r="F3" s="17"/>
      <c r="G3" s="17"/>
      <c r="H3" s="17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18" t="s">
        <v>52</v>
      </c>
      <c r="B4" s="18" t="s">
        <v>18</v>
      </c>
      <c r="C4" s="18" t="s">
        <v>28</v>
      </c>
      <c r="D4" s="2"/>
      <c r="E4" s="18" t="s">
        <v>53</v>
      </c>
      <c r="F4" s="18" t="s">
        <v>18</v>
      </c>
      <c r="G4" s="18" t="s">
        <v>28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5" hidden="false" customHeight="false" outlineLevel="0" collapsed="false">
      <c r="A5" s="29" t="s">
        <v>54</v>
      </c>
      <c r="B5" s="23" t="n">
        <v>7476</v>
      </c>
      <c r="C5" s="35" t="n">
        <v>0.7476</v>
      </c>
      <c r="D5" s="2"/>
      <c r="E5" s="27" t="s">
        <v>55</v>
      </c>
      <c r="F5" s="23" t="n">
        <v>3567</v>
      </c>
      <c r="G5" s="35" t="n">
        <v>0.3567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5" hidden="false" customHeight="false" outlineLevel="0" collapsed="false">
      <c r="A6" s="22" t="s">
        <v>56</v>
      </c>
      <c r="B6" s="23" t="n">
        <v>471</v>
      </c>
      <c r="C6" s="35" t="n">
        <v>0.0471</v>
      </c>
      <c r="D6" s="2"/>
      <c r="E6" s="28" t="s">
        <v>57</v>
      </c>
      <c r="F6" s="23" t="n">
        <v>3954</v>
      </c>
      <c r="G6" s="35" t="n">
        <v>0.3954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5" hidden="false" customHeight="false" outlineLevel="0" collapsed="false">
      <c r="A7" s="28" t="s">
        <v>58</v>
      </c>
      <c r="B7" s="23" t="n">
        <v>2053</v>
      </c>
      <c r="C7" s="35" t="n">
        <v>0.2053</v>
      </c>
      <c r="D7" s="2"/>
      <c r="E7" s="29" t="s">
        <v>59</v>
      </c>
      <c r="F7" s="23" t="n">
        <v>2007</v>
      </c>
      <c r="G7" s="35" t="n">
        <v>0.2007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5" hidden="false" customHeight="false" outlineLevel="0" collapsed="false">
      <c r="A8" s="2"/>
      <c r="B8" s="2"/>
      <c r="C8" s="2"/>
      <c r="D8" s="2"/>
      <c r="E8" s="22" t="s">
        <v>60</v>
      </c>
      <c r="F8" s="23" t="n">
        <v>472</v>
      </c>
      <c r="G8" s="35" t="n">
        <v>0.0472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5" hidden="false" customHeight="false" outlineLevel="0" collapsed="false">
      <c r="A10" s="17" t="s">
        <v>61</v>
      </c>
      <c r="B10" s="17"/>
      <c r="C10" s="17"/>
      <c r="D10" s="17"/>
      <c r="E10" s="17" t="s">
        <v>62</v>
      </c>
      <c r="F10" s="17"/>
      <c r="G10" s="17"/>
      <c r="H10" s="1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customFormat="false" ht="15" hidden="false" customHeight="false" outlineLevel="0" collapsed="false">
      <c r="A11" s="18" t="s">
        <v>63</v>
      </c>
      <c r="B11" s="18" t="s">
        <v>18</v>
      </c>
      <c r="C11" s="18" t="s">
        <v>28</v>
      </c>
      <c r="D11" s="2"/>
      <c r="E11" s="18" t="s">
        <v>64</v>
      </c>
      <c r="F11" s="18" t="s">
        <v>18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5" hidden="false" customHeight="false" outlineLevel="0" collapsed="false">
      <c r="A12" s="19" t="s">
        <v>65</v>
      </c>
      <c r="B12" s="20" t="n">
        <v>1423</v>
      </c>
      <c r="C12" s="21" t="n">
        <v>0.1423</v>
      </c>
      <c r="D12" s="2"/>
      <c r="E12" s="36" t="s">
        <v>66</v>
      </c>
      <c r="F12" s="37" t="n">
        <v>597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5" hidden="false" customHeight="false" outlineLevel="0" collapsed="false">
      <c r="A13" s="24" t="s">
        <v>67</v>
      </c>
      <c r="B13" s="25" t="n">
        <v>1497</v>
      </c>
      <c r="C13" s="26" t="n">
        <v>0.1497</v>
      </c>
      <c r="D13" s="2"/>
      <c r="E13" s="38" t="s">
        <v>68</v>
      </c>
      <c r="F13" s="25" t="n">
        <v>593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5" hidden="false" customHeight="false" outlineLevel="0" collapsed="false">
      <c r="A14" s="19" t="s">
        <v>69</v>
      </c>
      <c r="B14" s="20" t="n">
        <v>1416</v>
      </c>
      <c r="C14" s="21" t="n">
        <v>0.1416</v>
      </c>
      <c r="D14" s="2"/>
      <c r="E14" s="39" t="s">
        <v>70</v>
      </c>
      <c r="F14" s="20" t="n">
        <v>588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5" hidden="false" customHeight="false" outlineLevel="0" collapsed="false">
      <c r="A15" s="24" t="s">
        <v>71</v>
      </c>
      <c r="B15" s="25" t="n">
        <v>1427</v>
      </c>
      <c r="C15" s="26" t="n">
        <v>0.1427</v>
      </c>
      <c r="D15" s="2"/>
      <c r="E15" s="38" t="s">
        <v>72</v>
      </c>
      <c r="F15" s="25" t="n">
        <v>572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false" outlineLevel="0" collapsed="false">
      <c r="A16" s="19" t="s">
        <v>73</v>
      </c>
      <c r="B16" s="20" t="n">
        <v>1381</v>
      </c>
      <c r="C16" s="21" t="n">
        <v>0.1381</v>
      </c>
      <c r="D16" s="2"/>
      <c r="E16" s="39" t="s">
        <v>74</v>
      </c>
      <c r="F16" s="20" t="n">
        <v>564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false" outlineLevel="0" collapsed="false">
      <c r="A17" s="24" t="s">
        <v>75</v>
      </c>
      <c r="B17" s="25" t="n">
        <v>1441</v>
      </c>
      <c r="C17" s="26" t="n">
        <v>0.1441</v>
      </c>
      <c r="D17" s="2"/>
      <c r="E17" s="38" t="s">
        <v>76</v>
      </c>
      <c r="F17" s="25" t="n">
        <v>564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5" hidden="false" customHeight="false" outlineLevel="0" collapsed="false">
      <c r="A18" s="19" t="s">
        <v>77</v>
      </c>
      <c r="B18" s="20" t="n">
        <v>1415</v>
      </c>
      <c r="C18" s="21" t="n">
        <v>0.1415</v>
      </c>
      <c r="D18" s="2"/>
      <c r="E18" s="30"/>
      <c r="F18" s="3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false" outlineLevel="0" collapsed="false">
      <c r="A19" s="30"/>
      <c r="B19" s="30"/>
      <c r="C19" s="3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</sheetData>
  <mergeCells count="5">
    <mergeCell ref="A1:N1"/>
    <mergeCell ref="A3:D3"/>
    <mergeCell ref="E3:H3"/>
    <mergeCell ref="A10:D10"/>
    <mergeCell ref="E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2"/>
    <col collapsed="false" customWidth="true" hidden="false" outlineLevel="0" max="14" min="9" style="0" width="14"/>
  </cols>
  <sheetData>
    <row r="1" customFormat="false" ht="27.75" hidden="false" customHeight="true" outlineLevel="0" collapsed="false">
      <c r="A1" s="31" t="s">
        <v>78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2"/>
      <c r="P1" s="2"/>
      <c r="Q1" s="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40" t="s">
        <v>79</v>
      </c>
      <c r="B3" s="40"/>
      <c r="C3" s="40"/>
      <c r="D3" s="4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8" hidden="false" customHeight="true" outlineLevel="0" collapsed="false">
      <c r="A4" s="19" t="s">
        <v>80</v>
      </c>
      <c r="B4" s="41" t="n">
        <v>8420000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8" hidden="false" customHeight="true" outlineLevel="0" collapsed="false">
      <c r="A5" s="24" t="s">
        <v>81</v>
      </c>
      <c r="B5" s="42" t="n">
        <v>129667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8" hidden="false" customHeight="true" outlineLevel="0" collapsed="false">
      <c r="A6" s="19" t="s">
        <v>82</v>
      </c>
      <c r="B6" s="41" t="n">
        <v>6333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8" hidden="false" customHeight="true" outlineLevel="0" collapsed="false">
      <c r="A7" s="24" t="s">
        <v>83</v>
      </c>
      <c r="B7" s="42" t="n">
        <v>123333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8" hidden="false" customHeight="true" outlineLevel="0" collapsed="false">
      <c r="A8" s="19" t="s">
        <v>84</v>
      </c>
      <c r="B8" s="41" t="n">
        <v>10000000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16" t="s">
        <v>85</v>
      </c>
      <c r="B10" s="16"/>
      <c r="C10" s="16"/>
      <c r="D10" s="16"/>
      <c r="E10" s="16"/>
      <c r="F10" s="16"/>
      <c r="G10" s="16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30" hidden="false" customHeight="true" outlineLevel="0" collapsed="false">
      <c r="A11" s="43" t="s">
        <v>17</v>
      </c>
      <c r="B11" s="43" t="s">
        <v>86</v>
      </c>
      <c r="C11" s="43" t="s">
        <v>87</v>
      </c>
      <c r="D11" s="43" t="s">
        <v>88</v>
      </c>
      <c r="E11" s="43" t="s">
        <v>89</v>
      </c>
      <c r="F11" s="43" t="s">
        <v>90</v>
      </c>
      <c r="G11" s="43" t="s">
        <v>91</v>
      </c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8" hidden="false" customHeight="true" outlineLevel="0" collapsed="false">
      <c r="A12" s="19" t="s">
        <v>92</v>
      </c>
      <c r="B12" s="20" t="n">
        <v>8543333</v>
      </c>
      <c r="C12" s="44" t="n">
        <v>10000000</v>
      </c>
      <c r="D12" s="45" t="n">
        <v>-1456667</v>
      </c>
      <c r="E12" s="46" t="s">
        <v>93</v>
      </c>
      <c r="F12" s="20" t="n">
        <v>123333</v>
      </c>
      <c r="G12" s="20" t="n">
        <v>123333</v>
      </c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8" hidden="false" customHeight="true" outlineLevel="0" collapsed="false">
      <c r="A13" s="24" t="s">
        <v>94</v>
      </c>
      <c r="B13" s="25" t="n">
        <v>8666667</v>
      </c>
      <c r="C13" s="47" t="n">
        <v>10000000</v>
      </c>
      <c r="D13" s="48" t="n">
        <v>-1333333</v>
      </c>
      <c r="E13" s="46" t="s">
        <v>93</v>
      </c>
      <c r="F13" s="25" t="n">
        <v>123333</v>
      </c>
      <c r="G13" s="25" t="n">
        <v>246667</v>
      </c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8" hidden="false" customHeight="true" outlineLevel="0" collapsed="false">
      <c r="A14" s="19" t="s">
        <v>95</v>
      </c>
      <c r="B14" s="20" t="n">
        <v>8790000</v>
      </c>
      <c r="C14" s="44" t="n">
        <v>10000000</v>
      </c>
      <c r="D14" s="45" t="n">
        <v>-1210000</v>
      </c>
      <c r="E14" s="46" t="s">
        <v>93</v>
      </c>
      <c r="F14" s="20" t="n">
        <v>123333</v>
      </c>
      <c r="G14" s="20" t="n">
        <v>370000</v>
      </c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8" hidden="false" customHeight="true" outlineLevel="0" collapsed="false">
      <c r="A15" s="24" t="s">
        <v>96</v>
      </c>
      <c r="B15" s="25" t="n">
        <v>8913333</v>
      </c>
      <c r="C15" s="47" t="n">
        <v>10000000</v>
      </c>
      <c r="D15" s="48" t="n">
        <v>-1086667</v>
      </c>
      <c r="E15" s="46" t="s">
        <v>93</v>
      </c>
      <c r="F15" s="25" t="n">
        <v>123333</v>
      </c>
      <c r="G15" s="25" t="n">
        <v>493333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8" hidden="false" customHeight="true" outlineLevel="0" collapsed="false">
      <c r="A16" s="19" t="s">
        <v>97</v>
      </c>
      <c r="B16" s="20" t="n">
        <v>9036667</v>
      </c>
      <c r="C16" s="44" t="n">
        <v>10000000</v>
      </c>
      <c r="D16" s="45" t="n">
        <v>-963333</v>
      </c>
      <c r="E16" s="46" t="s">
        <v>93</v>
      </c>
      <c r="F16" s="20" t="n">
        <v>123333</v>
      </c>
      <c r="G16" s="20" t="n">
        <v>616667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8" hidden="false" customHeight="true" outlineLevel="0" collapsed="false">
      <c r="A17" s="24" t="s">
        <v>98</v>
      </c>
      <c r="B17" s="25" t="n">
        <v>9160000</v>
      </c>
      <c r="C17" s="47" t="n">
        <v>10000000</v>
      </c>
      <c r="D17" s="48" t="n">
        <v>-840000</v>
      </c>
      <c r="E17" s="46" t="s">
        <v>93</v>
      </c>
      <c r="F17" s="25" t="n">
        <v>123333</v>
      </c>
      <c r="G17" s="25" t="n">
        <v>740000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8" hidden="false" customHeight="true" outlineLevel="0" collapsed="false">
      <c r="A18" s="19" t="s">
        <v>99</v>
      </c>
      <c r="B18" s="20" t="n">
        <v>9283333</v>
      </c>
      <c r="C18" s="44" t="n">
        <v>10000000</v>
      </c>
      <c r="D18" s="45" t="n">
        <v>-716667</v>
      </c>
      <c r="E18" s="46" t="s">
        <v>93</v>
      </c>
      <c r="F18" s="20" t="n">
        <v>123333</v>
      </c>
      <c r="G18" s="20" t="n">
        <v>863333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8" hidden="false" customHeight="true" outlineLevel="0" collapsed="false">
      <c r="A19" s="24" t="s">
        <v>100</v>
      </c>
      <c r="B19" s="25" t="n">
        <v>9406667</v>
      </c>
      <c r="C19" s="47" t="n">
        <v>10000000</v>
      </c>
      <c r="D19" s="48" t="n">
        <v>-593333</v>
      </c>
      <c r="E19" s="46" t="s">
        <v>93</v>
      </c>
      <c r="F19" s="25" t="n">
        <v>123333</v>
      </c>
      <c r="G19" s="25" t="n">
        <v>986667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8" hidden="false" customHeight="true" outlineLevel="0" collapsed="false">
      <c r="A20" s="19" t="s">
        <v>101</v>
      </c>
      <c r="B20" s="20" t="n">
        <v>9530000</v>
      </c>
      <c r="C20" s="44" t="n">
        <v>10000000</v>
      </c>
      <c r="D20" s="45" t="n">
        <v>-470000</v>
      </c>
      <c r="E20" s="46" t="s">
        <v>93</v>
      </c>
      <c r="F20" s="20" t="n">
        <v>123333</v>
      </c>
      <c r="G20" s="20" t="n">
        <v>1110000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8" hidden="false" customHeight="true" outlineLevel="0" collapsed="false">
      <c r="A21" s="24" t="s">
        <v>102</v>
      </c>
      <c r="B21" s="25" t="n">
        <v>9653333</v>
      </c>
      <c r="C21" s="47" t="n">
        <v>10000000</v>
      </c>
      <c r="D21" s="48" t="n">
        <v>-346667</v>
      </c>
      <c r="E21" s="46" t="s">
        <v>93</v>
      </c>
      <c r="F21" s="25" t="n">
        <v>123333</v>
      </c>
      <c r="G21" s="25" t="n">
        <v>1233333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8" hidden="false" customHeight="true" outlineLevel="0" collapsed="false">
      <c r="A22" s="19" t="s">
        <v>103</v>
      </c>
      <c r="B22" s="20" t="n">
        <v>9776667</v>
      </c>
      <c r="C22" s="44" t="n">
        <v>10000000</v>
      </c>
      <c r="D22" s="45" t="n">
        <v>-223333</v>
      </c>
      <c r="E22" s="46" t="s">
        <v>93</v>
      </c>
      <c r="F22" s="20" t="n">
        <v>123333</v>
      </c>
      <c r="G22" s="20" t="n">
        <v>1356667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8" hidden="false" customHeight="true" outlineLevel="0" collapsed="false">
      <c r="A23" s="24" t="s">
        <v>104</v>
      </c>
      <c r="B23" s="25" t="n">
        <v>9900000</v>
      </c>
      <c r="C23" s="47" t="n">
        <v>10000000</v>
      </c>
      <c r="D23" s="48" t="n">
        <v>-100000</v>
      </c>
      <c r="E23" s="46" t="s">
        <v>93</v>
      </c>
      <c r="F23" s="25" t="n">
        <v>123333</v>
      </c>
      <c r="G23" s="25" t="n">
        <v>1480000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25.5" hidden="false" customHeight="true" outlineLevel="0" collapsed="false">
      <c r="A25" s="49" t="s">
        <v>105</v>
      </c>
      <c r="B25" s="49"/>
      <c r="C25" s="49"/>
      <c r="D25" s="49"/>
      <c r="E25" s="49"/>
      <c r="F25" s="49"/>
      <c r="G25" s="49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21.75" hidden="false" customHeight="true" outlineLevel="0" collapsed="false">
      <c r="A26" s="50" t="s">
        <v>106</v>
      </c>
      <c r="B26" s="50"/>
      <c r="C26" s="50"/>
      <c r="D26" s="50"/>
      <c r="E26" s="50"/>
      <c r="F26" s="50"/>
      <c r="G26" s="5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21.75" hidden="false" customHeight="true" outlineLevel="0" collapsed="false">
      <c r="A27" s="51" t="s">
        <v>107</v>
      </c>
      <c r="B27" s="51"/>
      <c r="C27" s="51"/>
      <c r="D27" s="51"/>
      <c r="E27" s="51"/>
      <c r="F27" s="51"/>
      <c r="G27" s="51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</sheetData>
  <mergeCells count="6">
    <mergeCell ref="A1:N1"/>
    <mergeCell ref="A3:D3"/>
    <mergeCell ref="A10:G10"/>
    <mergeCell ref="A25:G25"/>
    <mergeCell ref="A26:G2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"/>
    <col collapsed="false" customWidth="true" hidden="false" outlineLevel="0" max="11" min="8" style="0" width="14"/>
  </cols>
  <sheetData>
    <row r="1" customFormat="false" ht="27.75" hidden="false" customHeight="true" outlineLevel="0" collapsed="false">
      <c r="A1" s="31" t="s">
        <v>108</v>
      </c>
      <c r="B1" s="31"/>
      <c r="C1" s="31"/>
      <c r="D1" s="31"/>
      <c r="E1" s="31"/>
      <c r="F1" s="31"/>
      <c r="G1" s="31"/>
      <c r="H1" s="31"/>
      <c r="I1" s="31"/>
      <c r="J1" s="31"/>
      <c r="K1" s="2"/>
      <c r="L1" s="2"/>
      <c r="M1" s="2"/>
      <c r="N1" s="2"/>
      <c r="O1" s="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7" t="s">
        <v>109</v>
      </c>
      <c r="B3" s="27" t="s">
        <v>27</v>
      </c>
      <c r="C3" s="27" t="s">
        <v>25</v>
      </c>
      <c r="D3" s="27" t="s">
        <v>110</v>
      </c>
      <c r="E3" s="27" t="s">
        <v>19</v>
      </c>
      <c r="F3" s="27" t="s">
        <v>111</v>
      </c>
      <c r="G3" s="2"/>
      <c r="H3" s="2"/>
      <c r="I3" s="2"/>
      <c r="J3" s="2"/>
      <c r="K3" s="2"/>
      <c r="L3" s="2"/>
      <c r="M3" s="2"/>
      <c r="N3" s="2"/>
      <c r="O3" s="2"/>
    </row>
    <row r="4" customFormat="false" ht="19.5" hidden="false" customHeight="true" outlineLevel="0" collapsed="false">
      <c r="A4" s="27" t="n">
        <v>1</v>
      </c>
      <c r="B4" s="19" t="s">
        <v>31</v>
      </c>
      <c r="C4" s="20" t="n">
        <v>6218</v>
      </c>
      <c r="D4" s="52" t="n">
        <v>0.6218</v>
      </c>
      <c r="E4" s="20" t="n">
        <v>1303602912</v>
      </c>
      <c r="F4" s="53" t="n">
        <v>0.620590346788325</v>
      </c>
      <c r="G4" s="2"/>
      <c r="H4" s="2"/>
      <c r="I4" s="2"/>
      <c r="J4" s="2"/>
      <c r="K4" s="2"/>
      <c r="L4" s="2"/>
      <c r="M4" s="2"/>
      <c r="N4" s="2"/>
      <c r="O4" s="2"/>
    </row>
    <row r="5" customFormat="false" ht="19.5" hidden="false" customHeight="true" outlineLevel="0" collapsed="false">
      <c r="A5" s="28" t="n">
        <v>2</v>
      </c>
      <c r="B5" s="24" t="s">
        <v>34</v>
      </c>
      <c r="C5" s="25" t="n">
        <v>397</v>
      </c>
      <c r="D5" s="54" t="n">
        <v>0.0397</v>
      </c>
      <c r="E5" s="25" t="n">
        <v>83466692</v>
      </c>
      <c r="F5" s="55" t="n">
        <v>0.0397349705625345</v>
      </c>
      <c r="G5" s="2"/>
      <c r="H5" s="2"/>
      <c r="I5" s="2"/>
      <c r="J5" s="2"/>
      <c r="K5" s="2"/>
      <c r="L5" s="2"/>
      <c r="M5" s="2"/>
      <c r="N5" s="2"/>
      <c r="O5" s="2"/>
    </row>
    <row r="6" customFormat="false" ht="19.5" hidden="false" customHeight="true" outlineLevel="0" collapsed="false">
      <c r="A6" s="29" t="n">
        <v>3</v>
      </c>
      <c r="B6" s="19" t="s">
        <v>37</v>
      </c>
      <c r="C6" s="20" t="n">
        <v>383</v>
      </c>
      <c r="D6" s="52" t="n">
        <v>0.0383</v>
      </c>
      <c r="E6" s="20" t="n">
        <v>79672733</v>
      </c>
      <c r="F6" s="53" t="n">
        <v>0.0379288267515343</v>
      </c>
      <c r="G6" s="2"/>
      <c r="H6" s="2"/>
      <c r="I6" s="2"/>
      <c r="J6" s="2"/>
      <c r="K6" s="2"/>
      <c r="L6" s="2"/>
      <c r="M6" s="2"/>
      <c r="N6" s="2"/>
      <c r="O6" s="2"/>
    </row>
    <row r="7" customFormat="false" ht="19.5" hidden="false" customHeight="true" outlineLevel="0" collapsed="false">
      <c r="A7" s="22" t="n">
        <v>4</v>
      </c>
      <c r="B7" s="56" t="s">
        <v>40</v>
      </c>
      <c r="C7" s="25" t="n">
        <v>381</v>
      </c>
      <c r="D7" s="54" t="n">
        <v>0.0381</v>
      </c>
      <c r="E7" s="25" t="n">
        <v>86767343</v>
      </c>
      <c r="F7" s="55" t="n">
        <v>0.0413062712476294</v>
      </c>
      <c r="G7" s="2"/>
      <c r="H7" s="2"/>
      <c r="I7" s="2"/>
      <c r="J7" s="2"/>
      <c r="K7" s="2"/>
      <c r="L7" s="2"/>
      <c r="M7" s="2"/>
      <c r="N7" s="2"/>
      <c r="O7" s="2"/>
    </row>
    <row r="8" customFormat="false" ht="19.5" hidden="false" customHeight="true" outlineLevel="0" collapsed="false">
      <c r="A8" s="18" t="n">
        <v>5</v>
      </c>
      <c r="B8" s="57" t="s">
        <v>42</v>
      </c>
      <c r="C8" s="20" t="n">
        <v>373</v>
      </c>
      <c r="D8" s="52" t="n">
        <v>0.0373</v>
      </c>
      <c r="E8" s="20" t="n">
        <v>75873813</v>
      </c>
      <c r="F8" s="53" t="n">
        <v>0.036120321217741</v>
      </c>
      <c r="G8" s="2"/>
      <c r="H8" s="2"/>
      <c r="I8" s="2"/>
      <c r="J8" s="2"/>
      <c r="K8" s="2"/>
      <c r="L8" s="2"/>
      <c r="M8" s="2"/>
      <c r="N8" s="2"/>
      <c r="O8" s="2"/>
    </row>
    <row r="9" customFormat="false" ht="19.5" hidden="false" customHeight="true" outlineLevel="0" collapsed="false">
      <c r="A9" s="22" t="n">
        <v>6</v>
      </c>
      <c r="B9" s="56" t="s">
        <v>112</v>
      </c>
      <c r="C9" s="25" t="n">
        <v>284</v>
      </c>
      <c r="D9" s="54" t="n">
        <v>0.0284</v>
      </c>
      <c r="E9" s="25" t="n">
        <v>56941315</v>
      </c>
      <c r="F9" s="55" t="n">
        <v>0.0271073576908619</v>
      </c>
      <c r="G9" s="2"/>
      <c r="H9" s="2"/>
      <c r="I9" s="2"/>
      <c r="J9" s="2"/>
      <c r="K9" s="2"/>
      <c r="L9" s="2"/>
      <c r="M9" s="2"/>
      <c r="N9" s="2"/>
      <c r="O9" s="2"/>
    </row>
    <row r="10" customFormat="false" ht="19.5" hidden="false" customHeight="true" outlineLevel="0" collapsed="false">
      <c r="A10" s="29" t="n">
        <v>7</v>
      </c>
      <c r="B10" s="57" t="s">
        <v>113</v>
      </c>
      <c r="C10" s="20" t="n">
        <v>274</v>
      </c>
      <c r="D10" s="52" t="n">
        <v>0.0274</v>
      </c>
      <c r="E10" s="20" t="n">
        <v>56301789</v>
      </c>
      <c r="F10" s="53" t="n">
        <v>0.0268029063441622</v>
      </c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9.5" hidden="false" customHeight="true" outlineLevel="0" collapsed="false">
      <c r="A11" s="28" t="n">
        <v>8</v>
      </c>
      <c r="B11" s="56" t="s">
        <v>114</v>
      </c>
      <c r="C11" s="25" t="n">
        <v>264</v>
      </c>
      <c r="D11" s="54" t="n">
        <v>0.0264</v>
      </c>
      <c r="E11" s="25" t="n">
        <v>57176826</v>
      </c>
      <c r="F11" s="55" t="n">
        <v>0.027219474541643</v>
      </c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9.5" hidden="false" customHeight="true" outlineLevel="0" collapsed="false">
      <c r="A12" s="27" t="n">
        <v>9</v>
      </c>
      <c r="B12" s="57" t="s">
        <v>115</v>
      </c>
      <c r="C12" s="20" t="n">
        <v>249</v>
      </c>
      <c r="D12" s="52" t="n">
        <v>0.0249</v>
      </c>
      <c r="E12" s="20" t="n">
        <v>55157754</v>
      </c>
      <c r="F12" s="53" t="n">
        <v>0.0262582795480324</v>
      </c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9.5" hidden="false" customHeight="true" outlineLevel="0" collapsed="false">
      <c r="A13" s="18" t="n">
        <v>10</v>
      </c>
      <c r="B13" s="56" t="s">
        <v>116</v>
      </c>
      <c r="C13" s="25" t="n">
        <v>227</v>
      </c>
      <c r="D13" s="54" t="n">
        <v>0.0227</v>
      </c>
      <c r="E13" s="25" t="n">
        <v>47699439</v>
      </c>
      <c r="F13" s="55" t="n">
        <v>0.0227076904463209</v>
      </c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2026-04-19T18:43:12Z</dcterms:created>
  <dc:creator>openpyxl</dc:creator>
  <dc:description/>
  <dc:language>en-US</dc:language>
  <cp:lastModifiedBy/>
  <dcterms:modified xsi:type="dcterms:W3CDTF">2026-04-19T18:43:21Z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